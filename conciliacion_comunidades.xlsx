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unida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<sst xmlns="http://schemas.openxmlformats.org/spreadsheetml/2006/main" count="81" uniqueCount="49">
  <si>
    <t xml:space="preserve">Conciliación de Pagos — Comunidades y Condominios</t>
  </si>
  <si>
    <t xml:space="preserve">Casamado SpA · RUT 77.557.072-5 · Libro vivo: se actualiza cada vez que se concilian pagos</t>
  </si>
  <si>
    <t xml:space="preserve">Folio</t>
  </si>
  <si>
    <t xml:space="preserve">Comunidad</t>
  </si>
  <si>
    <t xml:space="preserve">RUT</t>
  </si>
  <si>
    <t xml:space="preserve">Fecha Emisión</t>
  </si>
  <si>
    <t xml:space="preserve">Neto</t>
  </si>
  <si>
    <t xml:space="preserve">IVA</t>
  </si>
  <si>
    <t xml:space="preserve">Total</t>
  </si>
  <si>
    <t xml:space="preserve">Estado</t>
  </si>
  <si>
    <t xml:space="preserve">Fecha Pago</t>
  </si>
  <si>
    <t xml:space="preserve">Notas / Evidencia</t>
  </si>
  <si>
    <t xml:space="preserve">Jardines del Valle Lote E</t>
  </si>
  <si>
    <t xml:space="preserve">65.076.104-9</t>
  </si>
  <si>
    <t xml:space="preserve">07/08/2026</t>
  </si>
  <si>
    <t xml:space="preserve">Pagada</t>
  </si>
  <si>
    <t xml:space="preserve">14/09/2026</t>
  </si>
  <si>
    <t xml:space="preserve">Conciliado en sesión (cartola + movimientos bancarios)</t>
  </si>
  <si>
    <t xml:space="preserve">Edificio Eco Fusion</t>
  </si>
  <si>
    <t xml:space="preserve">53.332.284-0</t>
  </si>
  <si>
    <t xml:space="preserve">20/08/2026</t>
  </si>
  <si>
    <t xml:space="preserve">Pagada, confirmada en sesión; fecha exacta de transferencia no registrada</t>
  </si>
  <si>
    <t xml:space="preserve">Edificio Villa Suecia</t>
  </si>
  <si>
    <t xml:space="preserve">56.009.780-8</t>
  </si>
  <si>
    <t xml:space="preserve">28/08/2026</t>
  </si>
  <si>
    <t xml:space="preserve">Aviso banco: "Pago factura 495"</t>
  </si>
  <si>
    <t xml:space="preserve">27/08/2026</t>
  </si>
  <si>
    <t xml:space="preserve">14/10/2026</t>
  </si>
  <si>
    <t xml:space="preserve">Aviso banco: "Pago factura 496"</t>
  </si>
  <si>
    <t xml:space="preserve">16/10/2026</t>
  </si>
  <si>
    <t xml:space="preserve">Aviso banco: "Pago factura 497"</t>
  </si>
  <si>
    <t xml:space="preserve">02/09/2026</t>
  </si>
  <si>
    <t xml:space="preserve">Aviso banco: "Pago factura 498"</t>
  </si>
  <si>
    <t xml:space="preserve">21/09/2026</t>
  </si>
  <si>
    <t xml:space="preserve">29/09/2026</t>
  </si>
  <si>
    <t xml:space="preserve">Edificio Campus</t>
  </si>
  <si>
    <t xml:space="preserve">56.027.800-4</t>
  </si>
  <si>
    <t xml:space="preserve">30/09/2026</t>
  </si>
  <si>
    <t xml:space="preserve">Condominio Holanda</t>
  </si>
  <si>
    <t xml:space="preserve">56.029.830-7</t>
  </si>
  <si>
    <t xml:space="preserve">Santa María de Huechuraba</t>
  </si>
  <si>
    <t xml:space="preserve">65.072.690-1</t>
  </si>
  <si>
    <t xml:space="preserve">22/09/2026</t>
  </si>
  <si>
    <t xml:space="preserve">01/10/2026</t>
  </si>
  <si>
    <t xml:space="preserve">Aviso banco: "Pago factura 503"</t>
  </si>
  <si>
    <t xml:space="preserve">TOTAL GENERAL</t>
  </si>
  <si>
    <t xml:space="preserve">TOTAL PAGADO</t>
  </si>
  <si>
    <t xml:space="preserve">TOTAL PENDIENTE</t>
  </si>
  <si>
    <t xml:space="preserve">Cómo usar: agrega una fila nueva por cada factura a comunidades. Mientras el Estado diga "Pendiente", aparece en rojo y se suma en TOTAL PENDIENTE; al marcarla "Pagada" pasa a verde y se mueve a TOTAL PAGADO automáticamente.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</si>
</sst>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1A4569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1A4569"/>
      <name val="Arial"/>
      <family val="0"/>
      <charset val="1"/>
    </font>
    <font>
      <i val="true"/>
      <sz val="9.5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4569"/>
        <bgColor rgb="FF333399"/>
      </patternFill>
    </fill>
    <fill>
      <patternFill patternType="solid">
        <fgColor rgb="FFF3F3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thin">
        <color rgb="FF1A456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456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4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5.35" hidden="false" customHeight="false" outlineLevel="0" collapsed="false">
      <c r="A5" s="4" t="n">
        <v>489</v>
      </c>
      <c r="B5" s="5" t="s">
        <v>12</v>
      </c>
      <c r="C5" s="5" t="s">
        <v>13</v>
      </c>
      <c r="D5" s="4" t="s">
        <v>14</v>
      </c>
      <c r="E5" s="6" t="n">
        <v>376793</v>
      </c>
      <c r="F5" s="6" t="n">
        <v>71591</v>
      </c>
      <c r="G5" s="6" t="n">
        <v>448384</v>
      </c>
      <c r="H5" s="4" t="s">
        <v>15</v>
      </c>
      <c r="I5" s="4" t="s">
        <v>16</v>
      </c>
      <c r="J5" s="5" t="s">
        <v>17</v>
      </c>
    </row>
    <row r="6" customFormat="false" ht="25.35" hidden="false" customHeight="false" outlineLevel="0" collapsed="false">
      <c r="A6" s="7" t="n">
        <v>494</v>
      </c>
      <c r="B6" s="8" t="s">
        <v>18</v>
      </c>
      <c r="C6" s="8" t="s">
        <v>19</v>
      </c>
      <c r="D6" s="7" t="s">
        <v>20</v>
      </c>
      <c r="E6" s="9" t="n">
        <v>178148</v>
      </c>
      <c r="F6" s="9" t="n">
        <v>33848</v>
      </c>
      <c r="G6" s="9" t="n">
        <v>211996</v>
      </c>
      <c r="H6" s="7" t="s">
        <v>15</v>
      </c>
      <c r="I6" s="7"/>
      <c r="J6" s="8" t="s">
        <v>21</v>
      </c>
    </row>
    <row r="7" customFormat="false" ht="15" hidden="false" customHeight="false" outlineLevel="0" collapsed="false">
      <c r="A7" s="4" t="n">
        <v>495</v>
      </c>
      <c r="B7" s="5" t="s">
        <v>22</v>
      </c>
      <c r="C7" s="5" t="s">
        <v>23</v>
      </c>
      <c r="D7" s="4" t="s">
        <v>20</v>
      </c>
      <c r="E7" s="6" t="n">
        <v>56995</v>
      </c>
      <c r="F7" s="6" t="n">
        <v>10829</v>
      </c>
      <c r="G7" s="6" t="n">
        <v>67824</v>
      </c>
      <c r="H7" s="4" t="s">
        <v>15</v>
      </c>
      <c r="I7" s="4" t="s">
        <v>24</v>
      </c>
      <c r="J7" s="5" t="s">
        <v>25</v>
      </c>
    </row>
    <row r="8" customFormat="false" ht="15" hidden="false" customHeight="false" outlineLevel="0" collapsed="false">
      <c r="A8" s="7" t="n">
        <v>496</v>
      </c>
      <c r="B8" s="8" t="s">
        <v>12</v>
      </c>
      <c r="C8" s="8" t="s">
        <v>13</v>
      </c>
      <c r="D8" s="7" t="s">
        <v>26</v>
      </c>
      <c r="E8" s="9" t="n">
        <v>79720</v>
      </c>
      <c r="F8" s="9" t="n">
        <v>15147</v>
      </c>
      <c r="G8" s="9" t="n">
        <v>94867</v>
      </c>
      <c r="H8" s="7" t="s">
        <v>15</v>
      </c>
      <c r="I8" s="7" t="s">
        <v>27</v>
      </c>
      <c r="J8" s="8" t="s">
        <v>28</v>
      </c>
    </row>
    <row r="9" customFormat="false" ht="15" hidden="false" customHeight="false" outlineLevel="0" collapsed="false">
      <c r="A9" s="4" t="n">
        <v>497</v>
      </c>
      <c r="B9" s="5" t="s">
        <v>18</v>
      </c>
      <c r="C9" s="5" t="s">
        <v>19</v>
      </c>
      <c r="D9" s="4" t="s">
        <v>24</v>
      </c>
      <c r="E9" s="6" t="n">
        <v>209906</v>
      </c>
      <c r="F9" s="6" t="n">
        <v>39882</v>
      </c>
      <c r="G9" s="6" t="n">
        <v>249788</v>
      </c>
      <c r="H9" s="4" t="s">
        <v>15</v>
      </c>
      <c r="I9" s="4" t="s">
        <v>29</v>
      </c>
      <c r="J9" s="5" t="s">
        <v>30</v>
      </c>
    </row>
    <row r="10" customFormat="false" ht="15" hidden="false" customHeight="false" outlineLevel="0" collapsed="false">
      <c r="A10" s="7" t="n">
        <v>498</v>
      </c>
      <c r="B10" s="8" t="s">
        <v>12</v>
      </c>
      <c r="C10" s="8" t="s">
        <v>13</v>
      </c>
      <c r="D10" s="7" t="s">
        <v>31</v>
      </c>
      <c r="E10" s="9" t="n">
        <v>305415</v>
      </c>
      <c r="F10" s="9" t="n">
        <v>58029</v>
      </c>
      <c r="G10" s="9" t="n">
        <v>363444</v>
      </c>
      <c r="H10" s="7" t="s">
        <v>15</v>
      </c>
      <c r="I10" s="7" t="s">
        <v>27</v>
      </c>
      <c r="J10" s="8" t="s">
        <v>32</v>
      </c>
    </row>
    <row r="11" customFormat="false" ht="25.35" hidden="false" customHeight="false" outlineLevel="0" collapsed="false">
      <c r="A11" s="4" t="n">
        <v>499</v>
      </c>
      <c r="B11" s="5" t="s">
        <v>22</v>
      </c>
      <c r="C11" s="5" t="s">
        <v>23</v>
      </c>
      <c r="D11" s="4" t="s">
        <v>33</v>
      </c>
      <c r="E11" s="6" t="n">
        <v>53268</v>
      </c>
      <c r="F11" s="6" t="n">
        <v>10121</v>
      </c>
      <c r="G11" s="6" t="n">
        <v>63389</v>
      </c>
      <c r="H11" s="4" t="s">
        <v>15</v>
      </c>
      <c r="I11" s="4" t="s">
        <v>34</v>
      </c>
      <c r="J11" s="5" t="s">
        <v>17</v>
      </c>
    </row>
    <row r="12" customFormat="false" ht="25.35" hidden="false" customHeight="false" outlineLevel="0" collapsed="false">
      <c r="A12" s="7" t="n">
        <v>500</v>
      </c>
      <c r="B12" s="8" t="s">
        <v>35</v>
      </c>
      <c r="C12" s="8" t="s">
        <v>36</v>
      </c>
      <c r="D12" s="7" t="s">
        <v>33</v>
      </c>
      <c r="E12" s="9" t="n">
        <v>37312</v>
      </c>
      <c r="F12" s="9" t="n">
        <v>7089</v>
      </c>
      <c r="G12" s="9" t="n">
        <v>44401</v>
      </c>
      <c r="H12" s="7" t="s">
        <v>15</v>
      </c>
      <c r="I12" s="7" t="s">
        <v>37</v>
      </c>
      <c r="J12" s="8" t="s">
        <v>17</v>
      </c>
    </row>
    <row r="13" customFormat="false" ht="25.35" hidden="false" customHeight="false" outlineLevel="0" collapsed="false">
      <c r="A13" s="4" t="n">
        <v>501</v>
      </c>
      <c r="B13" s="5" t="s">
        <v>38</v>
      </c>
      <c r="C13" s="5" t="s">
        <v>39</v>
      </c>
      <c r="D13" s="4" t="s">
        <v>33</v>
      </c>
      <c r="E13" s="6" t="n">
        <v>39101</v>
      </c>
      <c r="F13" s="6" t="n">
        <v>7429</v>
      </c>
      <c r="G13" s="6" t="n">
        <v>46530</v>
      </c>
      <c r="H13" s="4" t="s">
        <v>15</v>
      </c>
      <c r="I13" s="4" t="s">
        <v>37</v>
      </c>
      <c r="J13" s="5" t="s">
        <v>17</v>
      </c>
    </row>
    <row r="14" customFormat="false" ht="25.35" hidden="false" customHeight="false" outlineLevel="0" collapsed="false">
      <c r="A14" s="7" t="n">
        <v>502</v>
      </c>
      <c r="B14" s="8" t="s">
        <v>40</v>
      </c>
      <c r="C14" s="8" t="s">
        <v>41</v>
      </c>
      <c r="D14" s="7" t="s">
        <v>42</v>
      </c>
      <c r="E14" s="9" t="n">
        <v>65447</v>
      </c>
      <c r="F14" s="9" t="n">
        <v>12435</v>
      </c>
      <c r="G14" s="9" t="n">
        <v>77882</v>
      </c>
      <c r="H14" s="7" t="s">
        <v>15</v>
      </c>
      <c r="I14" s="7" t="s">
        <v>43</v>
      </c>
      <c r="J14" s="8" t="s">
        <v>17</v>
      </c>
    </row>
    <row r="15" customFormat="false" ht="15" hidden="false" customHeight="false" outlineLevel="0" collapsed="false">
      <c r="A15" s="4" t="n">
        <v>503</v>
      </c>
      <c r="B15" s="5" t="s">
        <v>12</v>
      </c>
      <c r="C15" s="5" t="s">
        <v>13</v>
      </c>
      <c r="D15" s="4" t="s">
        <v>42</v>
      </c>
      <c r="E15" s="6" t="n">
        <v>79720</v>
      </c>
      <c r="F15" s="6" t="n">
        <v>15147</v>
      </c>
      <c r="G15" s="6" t="n">
        <v>94867</v>
      </c>
      <c r="H15" s="4" t="s">
        <v>15</v>
      </c>
      <c r="I15" s="4" t="s">
        <v>27</v>
      </c>
      <c r="J15" s="5" t="s">
        <v>44</v>
      </c>
    </row>
    <row r="17" customFormat="false" ht="15" hidden="false" customHeight="false" outlineLevel="0" collapsed="false">
      <c r="A17" s="10" t="s">
        <v>45</v>
      </c>
      <c r="B17" s="10"/>
      <c r="C17" s="10"/>
      <c r="D17" s="10"/>
      <c r="E17" s="11" t="n">
        <f aca="false">SUM(E5:E15)</f>
        <v>1481825</v>
      </c>
      <c r="F17" s="11" t="n">
        <f aca="false">SUM(F5:F15)</f>
        <v>281547</v>
      </c>
      <c r="G17" s="11" t="n">
        <f aca="false">SUM(G5:G15)</f>
        <v>1763372</v>
      </c>
    </row>
    <row r="18" customFormat="false" ht="15" hidden="false" customHeight="false" outlineLevel="0" collapsed="false">
      <c r="A18" s="10" t="s">
        <v>46</v>
      </c>
      <c r="B18" s="10"/>
      <c r="C18" s="10"/>
      <c r="D18" s="10"/>
      <c r="E18" s="11" t="n">
        <f aca="false">SUMIF(H5:H15,"Pagada",E5:E15)</f>
        <v>1481825</v>
      </c>
      <c r="F18" s="11" t="n">
        <f aca="false">SUMIF(H5:H15,"Pagada",F5:F15)</f>
        <v>281547</v>
      </c>
      <c r="G18" s="11" t="n">
        <f aca="false">SUMIF(H5:H15,"Pagada",G5:G15)</f>
        <v>1763372</v>
      </c>
    </row>
    <row r="19" customFormat="false" ht="15" hidden="false" customHeight="false" outlineLevel="0" collapsed="false">
      <c r="A19" s="10" t="s">
        <v>47</v>
      </c>
      <c r="B19" s="10"/>
      <c r="C19" s="10"/>
      <c r="D19" s="10"/>
      <c r="E19" s="11" t="n">
        <f aca="false">SUMIF(H5:H15,"Pendiente",E5:E15)</f>
        <v>0</v>
      </c>
      <c r="F19" s="11" t="n">
        <f aca="false">SUMIF(H5:H15,"Pendiente",F5:F15)</f>
        <v>0</v>
      </c>
      <c r="G19" s="11" t="n">
        <f aca="false">SUMIF(H5:H15,"Pendiente",G5:G15)</f>
        <v>0</v>
      </c>
    </row>
    <row r="21" customFormat="false" ht="27.75" hidden="false" customHeight="true" outlineLevel="0" collapsed="false">
      <c r="A21" s="12" t="s">
        <v>48</v>
      </c>
      <c r="B21" s="12"/>
      <c r="C21" s="12"/>
      <c r="D21" s="12"/>
      <c r="E21" s="12"/>
      <c r="F21" s="12"/>
      <c r="G21" s="12"/>
      <c r="H21" s="12"/>
      <c r="I21" s="12"/>
      <c r="J21" s="12"/>
    </row>
  </sheetData>
  <mergeCells count="6">
    <mergeCell ref="A1:J1"/>
    <mergeCell ref="A2:J2"/>
    <mergeCell ref="A17:D17"/>
    <mergeCell ref="A18:D18"/>
    <mergeCell ref="A19:D19"/>
    <mergeCell ref="A21:J21"/>
  </mergeCells>
  <conditionalFormatting sqref="H5:H15">
    <cfRule type="cellIs" priority="2" operator="equal" aboveAverage="0" equalAverage="0" bottom="0" percent="0" rank="0" text="" dxfId="0">
      <formula>"Pagada"</formula>
    </cfRule>
    <cfRule type="cellIs" priority="3" operator="equal" aboveAverage="0" equalAverage="0" bottom="0" percent="0" rank="0" text="" dxfId="1">
      <formula>"Pendiente"</formula>
    </cfRule>
  </conditionalFormatting>
  <dataValidations count="1">
    <dataValidation allowBlank="true" errorStyle="stop" operator="between" showDropDown="false" showErrorMessage="false" showInputMessage="false" sqref="H5:H35" type="list">
      <formula1>"Pagada,Pendiente"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2026-10-16T15:29:08Z</dcterms:created>
  <dc:creator>openpyxl</dc:creator>
  <dc:description/>
  <dc:language>en-US</dc:language>
  <cp:lastModifiedBy/>
  <dcterms:modified xsi:type="dcterms:W3CDTF">2026-10-16T15:29:08Z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